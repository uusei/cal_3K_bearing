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0" yWindow="0" windowWidth="24000" windowHeight="12000"/>
  </bookViews>
  <sheets>
    <sheet name="3K轴承校核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2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2" fontId="0" fillId="5" borderId="1" xfId="0" applyNumberFormat="1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workbookViewId="0">
      <pane ySplit="4" topLeftCell="A5" activePane="bottomLeft" state="frozen"/>
    </sheetView>
  </sheetViews>
  <sheetFormatPr defaultRowHeight="18"/>
  <cols>
    <col min="1" max="1" width="34" customWidth="1"/>
    <col min="2" max="2" width="18" customWidth="1"/>
    <col min="3" max="3" width="28" customWidth="1"/>
  </cols>
  <sheetData>
    <row r="1">
      <c r="A1" s="1" t="inlineStr">
        <is>
          <t>3K行星减速器双联行星轮轴承校核模板</t>
        </is>
      </c>
    </row>
    <row r="2">
      <c r="A2" s="4" t="inlineStr">
        <is>
          <t>说明</t>
        </is>
      </c>
      <c r="B2" s="4" t="inlineStr">
        <is>
          <t>蓝色单元格为输入项，修改输入参数后，Excel 将自动重算结果。</t>
        </is>
      </c>
    </row>
    <row r="4">
      <c r="A4" s="1" t="inlineStr">
        <is>
          <t>输入参数</t>
        </is>
      </c>
    </row>
    <row r="5">
      <c r="A5" s="0" t="inlineStr">
        <is>
          <t>太阳轮齿数 Zs</t>
        </is>
      </c>
      <c r="B5" s="2">
        <v>56</v>
      </c>
      <c r="C5" s="0" t="inlineStr">
        <is>
          <t>-</t>
        </is>
      </c>
    </row>
    <row r="6">
      <c r="A6" s="0" t="inlineStr">
        <is>
          <t>行星轮1齿数 Zp1</t>
        </is>
      </c>
      <c r="B6" s="2">
        <v>56</v>
      </c>
      <c r="C6" s="0" t="inlineStr">
        <is>
          <t>-</t>
        </is>
      </c>
    </row>
    <row r="7">
      <c r="A7" s="0" t="inlineStr">
        <is>
          <t>内齿圈1齿数 Zr1</t>
        </is>
      </c>
      <c r="B7" s="2">
        <v>169</v>
      </c>
      <c r="C7" s="0" t="inlineStr">
        <is>
          <t>固定</t>
        </is>
      </c>
    </row>
    <row r="8">
      <c r="A8" s="0" t="inlineStr">
        <is>
          <t>行星轮2齿数 Zp2</t>
        </is>
      </c>
      <c r="B8" s="2">
        <v>49</v>
      </c>
      <c r="C8" s="0" t="inlineStr">
        <is>
          <t>-</t>
        </is>
      </c>
    </row>
    <row r="9">
      <c r="A9" s="0" t="inlineStr">
        <is>
          <t>内齿圈2齿数 Zr2</t>
        </is>
      </c>
      <c r="B9" s="2">
        <v>161</v>
      </c>
      <c r="C9" s="0" t="inlineStr">
        <is>
          <t>输出</t>
        </is>
      </c>
    </row>
    <row r="10">
      <c r="A10" s="0" t="inlineStr">
        <is>
          <t>模数 m (mm)</t>
        </is>
      </c>
      <c r="B10" s="2">
        <v>0.38</v>
      </c>
      <c r="C10" s="0" t="inlineStr">
        <is>
          <t>mm</t>
        </is>
      </c>
    </row>
    <row r="11">
      <c r="A11" s="0" t="inlineStr">
        <is>
          <t>太阳轮转速 ns (rpm)</t>
        </is>
      </c>
      <c r="B11" s="2">
        <v>2300</v>
      </c>
      <c r="C11" s="0" t="inlineStr">
        <is>
          <t>rpm</t>
        </is>
      </c>
    </row>
    <row r="12">
      <c r="A12" s="0" t="inlineStr">
        <is>
          <t>输出扭矩 Tout (Nm)</t>
        </is>
      </c>
      <c r="B12" s="2">
        <v>23</v>
      </c>
      <c r="C12" s="0" t="inlineStr">
        <is>
          <t>Nm</t>
        </is>
      </c>
    </row>
    <row r="13">
      <c r="A13" s="0" t="inlineStr">
        <is>
          <t>行星轮个数 np</t>
        </is>
      </c>
      <c r="B13" s="2">
        <v>5</v>
      </c>
      <c r="C13" s="0" t="inlineStr">
        <is>
          <t>-</t>
        </is>
      </c>
    </row>
    <row r="14">
      <c r="A14" s="0" t="inlineStr">
        <is>
          <t>轴承基本额定动载荷 Cr (N)</t>
        </is>
      </c>
      <c r="B14" s="2">
        <v>2900</v>
      </c>
      <c r="C14" s="0" t="inlineStr">
        <is>
          <t>HK0609 常用值</t>
        </is>
      </c>
    </row>
    <row r="15">
      <c r="A15" s="0" t="inlineStr">
        <is>
          <t>轴承基本额定静载荷 C0 (N)</t>
        </is>
      </c>
      <c r="B15" s="2">
        <v>2700</v>
      </c>
      <c r="C15" s="0" t="inlineStr">
        <is>
          <t>HK0609 常用值</t>
        </is>
      </c>
    </row>
    <row r="16">
      <c r="A16" s="0" t="inlineStr">
        <is>
          <t>齿轮压力角 α (°)</t>
        </is>
      </c>
      <c r="B16" s="2">
        <v>20</v>
      </c>
      <c r="C16" s="0" t="inlineStr">
        <is>
          <t>deg</t>
        </is>
      </c>
    </row>
    <row r="17">
      <c r="A17" s="0" t="inlineStr">
        <is>
          <t>轴承寿命指数 p</t>
        </is>
      </c>
      <c r="B17" s="2">
        <v>3.3333333333</v>
      </c>
      <c r="C17" s="0" t="inlineStr">
        <is>
          <t>滚针/滚子轴承取 10/3</t>
        </is>
      </c>
    </row>
    <row r="19">
      <c r="A19" s="1" t="inlineStr">
        <is>
          <t>运动学计算</t>
        </is>
      </c>
    </row>
    <row r="20">
      <c r="A20" s="0" t="inlineStr">
        <is>
          <t>传动比 i</t>
        </is>
      </c>
      <c r="B20" s="3">
        <f>(1+B7/B5)/(1-B7*B8/(B9*B6))</f>
        <v>0</v>
      </c>
      <c r="C20" s="0" t="inlineStr">
        <is>
          <t>-</t>
        </is>
      </c>
    </row>
    <row r="21">
      <c r="A21" s="0" t="inlineStr">
        <is>
          <t>输出转速 n_R2 (rpm)</t>
        </is>
      </c>
      <c r="B21" s="3">
        <f>B11/B20</f>
        <v>0</v>
      </c>
      <c r="C21" s="0" t="inlineStr">
        <is>
          <t>rpm</t>
        </is>
      </c>
    </row>
    <row r="22">
      <c r="A22" s="0" t="inlineStr">
        <is>
          <t>行星架转速 n_H (rpm)</t>
        </is>
      </c>
      <c r="B22" s="3">
        <f>B11/(1+B7/B5)</f>
        <v>0</v>
      </c>
      <c r="C22" s="0" t="inlineStr">
        <is>
          <t>rpm</t>
        </is>
      </c>
    </row>
    <row r="23">
      <c r="A23" s="0" t="inlineStr">
        <is>
          <t>行星轮自转转速 n_p (rpm)</t>
        </is>
      </c>
      <c r="B23" s="3">
        <f>B22-(B11-B22)*B5/B6</f>
        <v>0</v>
      </c>
      <c r="C23" s="0" t="inlineStr">
        <is>
          <t>rpm</t>
        </is>
      </c>
    </row>
    <row r="24">
      <c r="A24" s="0" t="inlineStr">
        <is>
          <t>轴承相对转速 n_rel (rpm)</t>
        </is>
      </c>
      <c r="B24" s="3">
        <f>ABS(B23-B22)</f>
        <v>0</v>
      </c>
      <c r="C24" s="0" t="inlineStr">
        <is>
          <t>rpm</t>
        </is>
      </c>
    </row>
    <row r="26">
      <c r="A26" s="1" t="inlineStr">
        <is>
          <t>齿轮力计算</t>
        </is>
      </c>
    </row>
    <row r="27">
      <c r="A27" s="0" t="inlineStr">
        <is>
          <t>分度圆半径 r_R2 (mm)</t>
        </is>
      </c>
      <c r="B27" s="3">
        <f>B10*B9/2</f>
        <v>0</v>
      </c>
      <c r="C27" s="0" t="inlineStr">
        <is>
          <t>mm</t>
        </is>
      </c>
    </row>
    <row r="28">
      <c r="A28" s="0" t="inlineStr">
        <is>
          <t>总圆周力 Ft_R2P2_total (N)</t>
        </is>
      </c>
      <c r="B28" s="3">
        <f>B12/(B27/1000)</f>
        <v>0</v>
      </c>
      <c r="C28" s="0" t="inlineStr">
        <is>
          <t>N</t>
        </is>
      </c>
    </row>
    <row r="29">
      <c r="A29" s="0" t="inlineStr">
        <is>
          <t>单个行星轮 Ft_R2P2 (N)</t>
        </is>
      </c>
      <c r="B29" s="3">
        <f>B28/B13</f>
        <v>0</v>
      </c>
      <c r="C29" s="0" t="inlineStr">
        <is>
          <t>N</t>
        </is>
      </c>
    </row>
    <row r="30">
      <c r="A30" s="0" t="inlineStr">
        <is>
          <t>分度圆半径 r_s (mm)</t>
        </is>
      </c>
      <c r="B30" s="3">
        <f>B10*B5/2</f>
        <v>0</v>
      </c>
      <c r="C30" s="0" t="inlineStr">
        <is>
          <t>mm</t>
        </is>
      </c>
    </row>
    <row r="31">
      <c r="A31" s="0" t="inlineStr">
        <is>
          <t>分度圆半径 r_R1 (mm)</t>
        </is>
      </c>
      <c r="B31" s="3">
        <f>B10*B7/2</f>
        <v>0</v>
      </c>
      <c r="C31" s="0" t="inlineStr">
        <is>
          <t>mm</t>
        </is>
      </c>
    </row>
    <row r="32">
      <c r="A32" s="0" t="inlineStr">
        <is>
          <t>单个行星轮 Ft_SP1 (N)</t>
        </is>
      </c>
      <c r="B32" s="3">
        <f>B29*(B27-B31)/(B30-B31)</f>
        <v>0</v>
      </c>
      <c r="C32" s="0" t="inlineStr">
        <is>
          <t>N</t>
        </is>
      </c>
    </row>
    <row r="33">
      <c r="A33" s="0" t="inlineStr">
        <is>
          <t>单个行星轮 Ft_R1P1 (N)</t>
        </is>
      </c>
      <c r="B33" s="3">
        <f>B29-B32</f>
        <v>0</v>
      </c>
      <c r="C33" s="0" t="inlineStr">
        <is>
          <t>N</t>
        </is>
      </c>
    </row>
    <row r="34">
      <c r="A34" s="0" t="inlineStr">
        <is>
          <t>径向力 Fr_SP1 (N)</t>
        </is>
      </c>
      <c r="B34" s="3">
        <f>B32*TAN(RADIANS(B16))</f>
        <v>0</v>
      </c>
      <c r="C34" s="0" t="inlineStr">
        <is>
          <t>N</t>
        </is>
      </c>
    </row>
    <row r="35">
      <c r="A35" s="0" t="inlineStr">
        <is>
          <t>径向力 Fr_R1P1 (N)</t>
        </is>
      </c>
      <c r="B35" s="3">
        <f>B33*TAN(RADIANS(B16))</f>
        <v>0</v>
      </c>
      <c r="C35" s="0" t="inlineStr">
        <is>
          <t>N</t>
        </is>
      </c>
    </row>
    <row r="36">
      <c r="A36" s="0" t="inlineStr">
        <is>
          <t>径向力 Fr_R2P2 (N)</t>
        </is>
      </c>
      <c r="B36" s="3">
        <f>B29*TAN(RADIANS(B16))</f>
        <v>0</v>
      </c>
      <c r="C36" s="0" t="inlineStr">
        <is>
          <t>N</t>
        </is>
      </c>
    </row>
    <row r="37">
      <c r="A37" s="0" t="inlineStr">
        <is>
          <t>总径向力 Fr_total (N)</t>
        </is>
      </c>
      <c r="B37" s="5">
        <f>B35+B36-B34</f>
        <v>0</v>
      </c>
      <c r="C37" s="0" t="inlineStr">
        <is>
          <t>按对话中的矢量合成公式</t>
        </is>
      </c>
    </row>
    <row r="38">
      <c r="A38" s="0" t="inlineStr">
        <is>
          <t>保守叠加载荷 Fr_conservative (N)</t>
        </is>
      </c>
      <c r="B38" s="3">
        <f>B34+B35+B36</f>
        <v>0</v>
      </c>
      <c r="C38" s="0" t="inlineStr">
        <is>
          <t>最不利同向叠加参考值</t>
        </is>
      </c>
    </row>
    <row r="40">
      <c r="A40" s="1" t="inlineStr">
        <is>
          <t>轴承寿命计算</t>
        </is>
      </c>
    </row>
    <row r="41">
      <c r="A41" s="0" t="inlineStr">
        <is>
          <t>当量动载荷 P (N)</t>
        </is>
      </c>
      <c r="B41" s="5">
        <f>B37</f>
        <v>0</v>
      </c>
      <c r="C41" s="0" t="inlineStr">
        <is>
          <t>默认采用矢量合成值</t>
        </is>
      </c>
    </row>
    <row r="42">
      <c r="A42" s="0" t="inlineStr">
        <is>
          <t>Cr / P</t>
        </is>
      </c>
      <c r="B42" s="3">
        <f>B14/B41</f>
        <v>0</v>
      </c>
      <c r="C42" s="0" t="inlineStr">
        <is>
          <t>-</t>
        </is>
      </c>
    </row>
    <row r="43">
      <c r="A43" s="0" t="inlineStr">
        <is>
          <t>寿命指数修正 (Cr/P)^p</t>
        </is>
      </c>
      <c r="B43" s="3">
        <f>B42^B17</f>
        <v>0</v>
      </c>
      <c r="C43" s="0" t="inlineStr">
        <is>
          <t>-</t>
        </is>
      </c>
    </row>
    <row r="44">
      <c r="A44" s="0" t="inlineStr">
        <is>
          <t>基本额定寿命 L10h (小时)</t>
        </is>
      </c>
      <c r="B44" s="6">
        <f>B43*1E6/(60*B24)</f>
        <v>0</v>
      </c>
      <c r="C44" s="0" t="inlineStr">
        <is>
          <t>h</t>
        </is>
      </c>
    </row>
    <row r="45">
      <c r="A45" s="0" t="inlineStr">
        <is>
          <t>当量静载荷 P0 (N)</t>
        </is>
      </c>
      <c r="B45" s="3">
        <f>B37</f>
        <v>0</v>
      </c>
      <c r="C45" s="0" t="inlineStr">
        <is>
          <t>N</t>
        </is>
      </c>
    </row>
    <row r="46">
      <c r="A46" s="0" t="inlineStr">
        <is>
          <t>静安全系数 S0</t>
        </is>
      </c>
      <c r="B46" s="6">
        <f>B15/B45</f>
        <v>0</v>
      </c>
      <c r="C46" s="0" t="inlineStr">
        <is>
          <t>&gt;=1.1 一般视为合格</t>
        </is>
      </c>
    </row>
    <row r="48">
      <c r="A48" s="1" t="inlineStr">
        <is>
          <t>示例结果（使用默认输入）</t>
        </is>
      </c>
    </row>
    <row r="49">
      <c r="A49" s="4" t="inlineStr">
        <is>
          <t>理论上打开 Excel 后应接近：i≈49.29，n_rel≈1727.56 rpm，Fr_total≈101.72 N，L10h≈6.83E5 h。</t>
        </is>
      </c>
    </row>
  </sheetData>
  <mergeCells count="4">
    <mergeCell ref="A1:C1"/>
    <mergeCell ref="B2:C2"/>
    <mergeCell ref="A49:C49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3K轴承校核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3K Bearing Calculator</dc:title>
  <dc:creator>GitHub Copilot Task Agent</dc:creator>
  <cp:lastModifiedBy>GitHub Copilot Task Agent</cp:lastModifiedBy>
  <dcterms:created xsi:type="dcterms:W3CDTF">2026-05-03T11:12:44Z</dcterms:created>
  <dcterms:modified xsi:type="dcterms:W3CDTF">2026-05-03T11:12:44Z</dcterms:modified>
</cp:coreProperties>
</file>